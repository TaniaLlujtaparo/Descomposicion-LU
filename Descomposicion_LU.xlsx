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x\Downloads\"/>
    </mc:Choice>
  </mc:AlternateContent>
  <xr:revisionPtr revIDLastSave="0" documentId="13_ncr:1_{CB5B98A0-DA79-4C95-AC34-6A8F341C7E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 a="1"/>
  <c r="H4" i="1" s="1"/>
  <c r="F11" i="1"/>
  <c r="C11" i="1" s="1"/>
  <c r="F10" i="1"/>
  <c r="D10" i="1" s="1"/>
  <c r="D15" i="1" s="1"/>
  <c r="D9" i="1"/>
  <c r="D14" i="1" s="1"/>
  <c r="C9" i="1"/>
  <c r="C14" i="1" s="1"/>
  <c r="B9" i="1"/>
  <c r="B14" i="1" s="1"/>
  <c r="D11" i="1" l="1"/>
  <c r="B11" i="1"/>
  <c r="B16" i="1" s="1"/>
  <c r="J6" i="1"/>
  <c r="I6" i="1"/>
  <c r="H6" i="1"/>
  <c r="J5" i="1"/>
  <c r="I5" i="1"/>
  <c r="H5" i="1"/>
  <c r="J4" i="1"/>
  <c r="I4" i="1"/>
  <c r="C10" i="1"/>
  <c r="C15" i="1" s="1"/>
  <c r="B10" i="1"/>
  <c r="B15" i="1" s="1"/>
  <c r="L4" i="1" l="1" a="1"/>
  <c r="L4" i="1" s="1"/>
  <c r="G11" i="1"/>
  <c r="L5" i="1" l="1"/>
  <c r="L6" i="1"/>
  <c r="C16" i="1"/>
  <c r="D16" i="1"/>
  <c r="F14" i="1" s="1" a="1"/>
  <c r="B21" i="1" a="1"/>
  <c r="B28" i="1" l="1" a="1"/>
  <c r="B28" i="1" s="1"/>
  <c r="B21" i="1"/>
  <c r="C21" i="1"/>
  <c r="D23" i="1"/>
  <c r="C23" i="1"/>
  <c r="B23" i="1"/>
  <c r="D22" i="1"/>
  <c r="C22" i="1"/>
  <c r="B22" i="1"/>
  <c r="D21" i="1"/>
  <c r="F14" i="1"/>
  <c r="H16" i="1"/>
  <c r="G16" i="1"/>
  <c r="H15" i="1"/>
  <c r="H14" i="1"/>
  <c r="G14" i="1"/>
  <c r="F16" i="1"/>
  <c r="G15" i="1"/>
  <c r="F15" i="1"/>
  <c r="D29" i="1" l="1"/>
  <c r="C30" i="1"/>
  <c r="C29" i="1"/>
  <c r="B30" i="1"/>
  <c r="D30" i="1"/>
  <c r="D28" i="1"/>
  <c r="C28" i="1"/>
  <c r="B29" i="1"/>
  <c r="F21" i="1" a="1"/>
  <c r="F21" i="1" l="1"/>
  <c r="F23" i="1"/>
  <c r="F22" i="1"/>
  <c r="F28" i="1" l="1" a="1"/>
  <c r="F28" i="1" s="1"/>
  <c r="F29" i="1" l="1"/>
  <c r="F30" i="1"/>
</calcChain>
</file>

<file path=xl/sharedStrings.xml><?xml version="1.0" encoding="utf-8"?>
<sst xmlns="http://schemas.openxmlformats.org/spreadsheetml/2006/main" count="17" uniqueCount="17">
  <si>
    <t>L</t>
  </si>
  <si>
    <t>A</t>
  </si>
  <si>
    <t>B</t>
  </si>
  <si>
    <t>U1</t>
  </si>
  <si>
    <t>U2</t>
  </si>
  <si>
    <t>matriz A =L *U</t>
  </si>
  <si>
    <t>L * D = B</t>
  </si>
  <si>
    <t>//L inv</t>
  </si>
  <si>
    <t>Linv * L *D = Linv * B</t>
  </si>
  <si>
    <t>D =Linv * B</t>
  </si>
  <si>
    <t>L inversa</t>
  </si>
  <si>
    <t>D</t>
  </si>
  <si>
    <t>U * X = D</t>
  </si>
  <si>
    <t>// U inv</t>
  </si>
  <si>
    <t>U inv * U * X = U inv * D</t>
  </si>
  <si>
    <t>X = U inv * D</t>
  </si>
  <si>
    <t>U inversa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</si>
</sst>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189F7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A2A2A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30"/>
  <sheetViews>
    <sheetView tabSelected="1" workbookViewId="0">
      <selection activeCell="H2" sqref="H2"/>
    </sheetView>
  </sheetViews>
  <sheetFormatPr baseColWidth="10" defaultColWidth="8.85546875" defaultRowHeight="15" x14ac:dyDescent="0.25"/>
  <sheetData>
    <row r="3" spans="2:12" x14ac:dyDescent="0.25">
      <c r="B3" t="s">
        <v>1</v>
      </c>
      <c r="F3" t="s">
        <v>2</v>
      </c>
    </row>
    <row r="4" spans="2:12" x14ac:dyDescent="0.25">
      <c r="B4" s="4">
        <v>8</v>
      </c>
      <c r="C4" s="3">
        <v>4</v>
      </c>
      <c r="D4" s="3">
        <v>-1</v>
      </c>
      <c r="F4" s="3">
        <v>11</v>
      </c>
      <c r="H4" s="1">
        <f t="array" ref="H4:J6">MINVERSE(B4:D6)</f>
        <v>9.9358974358974353E-2</v>
      </c>
      <c r="I4" s="1">
        <v>-7.371794871794872E-2</v>
      </c>
      <c r="J4" s="1">
        <v>2.8846153846153848E-2</v>
      </c>
      <c r="L4">
        <f t="array" ref="L4:L6">MMULT(H4:J6,F4:F6)</f>
        <v>0.99999999999999978</v>
      </c>
    </row>
    <row r="5" spans="2:12" x14ac:dyDescent="0.25">
      <c r="B5" s="3">
        <v>-2</v>
      </c>
      <c r="C5" s="4">
        <v>5</v>
      </c>
      <c r="D5" s="3">
        <v>1</v>
      </c>
      <c r="F5" s="3">
        <v>4</v>
      </c>
      <c r="H5" s="1">
        <v>4.4871794871794872E-2</v>
      </c>
      <c r="I5" s="1">
        <v>0.16025641025641027</v>
      </c>
      <c r="J5" s="1">
        <v>-1.9230769230769232E-2</v>
      </c>
      <c r="L5">
        <v>1</v>
      </c>
    </row>
    <row r="6" spans="2:12" x14ac:dyDescent="0.25">
      <c r="B6" s="3">
        <v>2</v>
      </c>
      <c r="C6" s="3">
        <v>-1</v>
      </c>
      <c r="D6" s="4">
        <v>6</v>
      </c>
      <c r="F6" s="3">
        <v>7</v>
      </c>
      <c r="H6" s="1">
        <v>-2.5641025641025644E-2</v>
      </c>
      <c r="I6" s="1">
        <v>5.128205128205128E-2</v>
      </c>
      <c r="J6" s="1">
        <v>0.15384615384615385</v>
      </c>
      <c r="L6">
        <v>1</v>
      </c>
    </row>
    <row r="8" spans="2:12" x14ac:dyDescent="0.25">
      <c r="B8" t="s">
        <v>3</v>
      </c>
      <c r="F8" t="s">
        <v>0</v>
      </c>
    </row>
    <row r="9" spans="2:12" x14ac:dyDescent="0.25">
      <c r="B9" s="8">
        <f>B4</f>
        <v>8</v>
      </c>
      <c r="C9" s="8">
        <f>C4</f>
        <v>4</v>
      </c>
      <c r="D9" s="8">
        <f>D4</f>
        <v>-1</v>
      </c>
      <c r="F9" s="5">
        <v>1</v>
      </c>
      <c r="G9" s="6">
        <v>0</v>
      </c>
      <c r="H9" s="6">
        <v>0</v>
      </c>
    </row>
    <row r="10" spans="2:12" x14ac:dyDescent="0.25">
      <c r="B10" s="7">
        <f>(-F10*B4)+B5</f>
        <v>0</v>
      </c>
      <c r="C10" s="7">
        <f>(-F10*C4)+C5</f>
        <v>6</v>
      </c>
      <c r="D10" s="7">
        <f>(-F10*D4)+D5</f>
        <v>0.75</v>
      </c>
      <c r="F10" s="1">
        <f>B5/B4</f>
        <v>-0.25</v>
      </c>
      <c r="G10" s="5">
        <v>1</v>
      </c>
      <c r="H10" s="6">
        <v>0</v>
      </c>
    </row>
    <row r="11" spans="2:12" x14ac:dyDescent="0.25">
      <c r="B11" s="7">
        <f>(-F11*B4)+B6</f>
        <v>0</v>
      </c>
      <c r="C11" s="7">
        <f>(-F11*C4)+C6</f>
        <v>-2</v>
      </c>
      <c r="D11" s="7">
        <f>(-F11*D4)+D6</f>
        <v>6.25</v>
      </c>
      <c r="F11" s="1">
        <f>B6/B4</f>
        <v>0.25</v>
      </c>
      <c r="G11" s="1">
        <f>C11/C10</f>
        <v>-0.33333333333333331</v>
      </c>
      <c r="H11" s="5">
        <v>1</v>
      </c>
    </row>
    <row r="12" spans="2:12" x14ac:dyDescent="0.25">
      <c r="B12" s="2"/>
      <c r="C12" s="2"/>
      <c r="D12" s="2"/>
      <c r="F12" s="2"/>
      <c r="G12" s="2"/>
      <c r="H12" s="2"/>
    </row>
    <row r="13" spans="2:12" x14ac:dyDescent="0.25">
      <c r="B13" t="s">
        <v>4</v>
      </c>
      <c r="F13" t="s">
        <v>5</v>
      </c>
    </row>
    <row r="14" spans="2:12" x14ac:dyDescent="0.25">
      <c r="B14" s="7">
        <f>B9</f>
        <v>8</v>
      </c>
      <c r="C14" s="7">
        <f>C9</f>
        <v>4</v>
      </c>
      <c r="D14" s="7">
        <f>D9</f>
        <v>-1</v>
      </c>
      <c r="F14" s="1">
        <f t="array" ref="F14:H16">MMULT(F9:H11,B14:D16)</f>
        <v>8</v>
      </c>
      <c r="G14" s="1">
        <v>4</v>
      </c>
      <c r="H14" s="1">
        <v>-1</v>
      </c>
    </row>
    <row r="15" spans="2:12" x14ac:dyDescent="0.25">
      <c r="B15" s="7">
        <f t="shared" ref="B15" si="0">B10</f>
        <v>0</v>
      </c>
      <c r="C15" s="7">
        <f>C10</f>
        <v>6</v>
      </c>
      <c r="D15" s="7">
        <f>D10</f>
        <v>0.75</v>
      </c>
      <c r="F15" s="1">
        <v>-2</v>
      </c>
      <c r="G15" s="1">
        <v>5</v>
      </c>
      <c r="H15" s="1">
        <v>1</v>
      </c>
    </row>
    <row r="16" spans="2:12" x14ac:dyDescent="0.25">
      <c r="B16" s="7">
        <f>B11</f>
        <v>0</v>
      </c>
      <c r="C16" s="1">
        <f>(-G11*C10)+C11</f>
        <v>0</v>
      </c>
      <c r="D16" s="1">
        <f>(-G11*D10)+D11</f>
        <v>6.5</v>
      </c>
      <c r="F16" s="1">
        <v>2</v>
      </c>
      <c r="G16" s="1">
        <v>-1</v>
      </c>
      <c r="H16" s="1">
        <v>6</v>
      </c>
    </row>
    <row r="18" spans="2:8" x14ac:dyDescent="0.25">
      <c r="B18" t="s">
        <v>6</v>
      </c>
      <c r="C18" t="s">
        <v>7</v>
      </c>
      <c r="E18" t="s">
        <v>8</v>
      </c>
      <c r="H18" t="s">
        <v>9</v>
      </c>
    </row>
    <row r="20" spans="2:8" x14ac:dyDescent="0.25">
      <c r="B20" t="s">
        <v>10</v>
      </c>
      <c r="F20" t="s">
        <v>11</v>
      </c>
    </row>
    <row r="21" spans="2:8" x14ac:dyDescent="0.25">
      <c r="B21" s="5">
        <f t="array" ref="B21:D23">MINVERSE(F9:H11)</f>
        <v>1</v>
      </c>
      <c r="C21" s="5">
        <v>0</v>
      </c>
      <c r="D21" s="5">
        <v>0</v>
      </c>
      <c r="F21" s="9">
        <f t="array" ref="F21:F23">MMULT(B21:D23,F4:F6)</f>
        <v>11</v>
      </c>
    </row>
    <row r="22" spans="2:8" x14ac:dyDescent="0.25">
      <c r="B22" s="5">
        <v>0.25</v>
      </c>
      <c r="C22" s="5">
        <v>1</v>
      </c>
      <c r="D22" s="5">
        <v>0</v>
      </c>
      <c r="F22" s="9">
        <v>6.75</v>
      </c>
    </row>
    <row r="23" spans="2:8" x14ac:dyDescent="0.25">
      <c r="B23" s="5">
        <v>-0.16666666666666669</v>
      </c>
      <c r="C23" s="5">
        <v>0.33333333333333331</v>
      </c>
      <c r="D23" s="5">
        <v>1</v>
      </c>
      <c r="F23" s="9">
        <v>6.5</v>
      </c>
    </row>
    <row r="24" spans="2:8" x14ac:dyDescent="0.25">
      <c r="F24" s="2"/>
    </row>
    <row r="25" spans="2:8" x14ac:dyDescent="0.25">
      <c r="B25" t="s">
        <v>12</v>
      </c>
      <c r="C25" t="s">
        <v>13</v>
      </c>
      <c r="E25" t="s">
        <v>14</v>
      </c>
      <c r="H25" t="s">
        <v>15</v>
      </c>
    </row>
    <row r="27" spans="2:8" x14ac:dyDescent="0.25">
      <c r="B27" t="s">
        <v>16</v>
      </c>
    </row>
    <row r="28" spans="2:8" x14ac:dyDescent="0.25">
      <c r="B28" s="1">
        <f t="array" ref="B28:D30">MINVERSE(B14:D16)</f>
        <v>0.125</v>
      </c>
      <c r="C28" s="1">
        <v>-8.3333333333333329E-2</v>
      </c>
      <c r="D28" s="1">
        <v>2.8846153846153848E-2</v>
      </c>
      <c r="F28" s="1">
        <f t="array" ref="F28:F30">MMULT(B28:D30,F21:F23)</f>
        <v>1</v>
      </c>
    </row>
    <row r="29" spans="2:8" x14ac:dyDescent="0.25">
      <c r="B29" s="1">
        <v>0</v>
      </c>
      <c r="C29" s="1">
        <v>0.16666666666666666</v>
      </c>
      <c r="D29" s="1">
        <v>-1.9230769230769232E-2</v>
      </c>
      <c r="F29" s="1">
        <v>1</v>
      </c>
    </row>
    <row r="30" spans="2:8" x14ac:dyDescent="0.25">
      <c r="B30" s="1">
        <v>0</v>
      </c>
      <c r="C30" s="1">
        <v>0</v>
      </c>
      <c r="D30" s="1">
        <v>0.15384615384615385</v>
      </c>
      <c r="F30" s="1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Atila</dc:creator>
  <cp:lastModifiedBy>PCx</cp:lastModifiedBy>
  <dcterms:created xsi:type="dcterms:W3CDTF">2025-07-21T09:59:32Z</dcterms:created>
  <dcterms:modified xsi:type="dcterms:W3CDTF">2026-03-26T16:10:20Z</dcterms:modified>
</cp:coreProperties>
</file>